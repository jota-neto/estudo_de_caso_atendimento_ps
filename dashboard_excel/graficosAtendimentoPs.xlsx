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nett\Documents\estudosDeCaso\atendimento_hospital\dashboard_excel\"/>
    </mc:Choice>
  </mc:AlternateContent>
  <xr:revisionPtr revIDLastSave="0" documentId="13_ncr:1_{E45D850A-49CC-4FCF-BFC3-BE409ED8280D}" xr6:coauthVersionLast="47" xr6:coauthVersionMax="47" xr10:uidLastSave="{00000000-0000-0000-0000-000000000000}"/>
  <bookViews>
    <workbookView xWindow="-120" yWindow="-120" windowWidth="20730" windowHeight="11040" activeTab="1" xr2:uid="{611D1925-8571-49C2-BBE2-D7DEDFF49821}"/>
  </bookViews>
  <sheets>
    <sheet name="DadosBrutos" sheetId="1" r:id="rId1"/>
    <sheet name="Dashoboard" sheetId="3" r:id="rId2"/>
  </sheets>
  <definedNames>
    <definedName name="DadosExternos_1" localSheetId="0" hidden="1">DadosBrutos!$B$1:$E$6</definedName>
    <definedName name="DadosExternos_2" localSheetId="0" hidden="1">DadosBrutos!$A$1:$A$6</definedName>
    <definedName name="DadosExternos_3" localSheetId="0" hidden="1">DadosBrutos!$B$25:$D$32</definedName>
    <definedName name="DadosExternos_4" localSheetId="0" hidden="1">DadosBrutos!$B$35:$D$40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96E21A-1B42-48BB-B252-25C3CF69A98A}" keepAlive="1" name="Consulta - Tabela de Sazonalidade" description="Conexão com a consulta 'Tabela de Sazonalidade' na pasta de trabalho." type="5" refreshedVersion="7" background="1" saveData="1">
    <dbPr connection="Provider=Microsoft.Mashup.OleDb.1;Data Source=$Workbook$;Location=&quot;Tabela de Sazonalidade&quot;;Extended Properties=&quot;&quot;" command="SELECT * FROM [Tabela de Sazonalidade]"/>
  </connection>
  <connection id="2" xr16:uid="{58416142-463F-48BE-BE79-0FE1AFE43439}" keepAlive="1" name="Consulta - tabela_de_burocracia_por_plano" description="Conexão com a consulta 'tabela_de_burocracia_por_plano' na pasta de trabalho." type="5" refreshedVersion="0" background="1">
    <dbPr connection="Provider=Microsoft.Mashup.OleDb.1;Data Source=$Workbook$;Location=tabela_de_burocracia_por_plano;Extended Properties=&quot;&quot;" command="SELECT * FROM [tabela_de_burocracia_por_plano]"/>
  </connection>
  <connection id="3" xr16:uid="{7274AA62-761B-414B-91FF-36F5AF58F9D6}" keepAlive="1" name="Consulta - tabela_de_burocracia_por_plano (2)" description="Conexão com a consulta 'tabela_de_burocracia_por_plano (2)' na pasta de trabalho." type="5" refreshedVersion="7" background="1" saveData="1">
    <dbPr connection="Provider=Microsoft.Mashup.OleDb.1;Data Source=$Workbook$;Location=&quot;tabela_de_burocracia_por_plano (2)&quot;;Extended Properties=&quot;&quot;" command="SELECT * FROM [tabela_de_burocracia_por_plano (2)]"/>
  </connection>
  <connection id="4" xr16:uid="{B3032DB0-57AD-4018-921D-0D206C47DD54}" keepAlive="1" name="Consulta - tabela_eficiencia" description="Conexão com a consulta 'tabela_eficiencia' na pasta de trabalho." type="5" refreshedVersion="7" background="1" saveData="1">
    <dbPr connection="Provider=Microsoft.Mashup.OleDb.1;Data Source=$Workbook$;Location=tabela_eficiencia;Extended Properties=&quot;&quot;" command="SELECT * FROM [tabela_eficiencia]"/>
  </connection>
  <connection id="5" xr16:uid="{7664485F-CDCE-4EB2-8D74-F0B5FBEBDD33}" keepAlive="1" name="Consulta - tabela_financeira" description="Conexão com a consulta 'tabela_financeira' na pasta de trabalho." type="5" refreshedVersion="7" background="1" saveData="1">
    <dbPr connection="Provider=Microsoft.Mashup.OleDb.1;Data Source=$Workbook$;Location=tabela_financeira;Extended Properties=&quot;&quot;" command="SELECT * FROM [tabela_financeira]"/>
  </connection>
</connections>
</file>

<file path=xl/sharedStrings.xml><?xml version="1.0" encoding="utf-8"?>
<sst xmlns="http://schemas.openxmlformats.org/spreadsheetml/2006/main" count="60" uniqueCount="33">
  <si>
    <t>plano_de_saude</t>
  </si>
  <si>
    <t>ticket_medio_real</t>
  </si>
  <si>
    <t>qtd_consultas_zeradas</t>
  </si>
  <si>
    <t>perda_total_estimada</t>
  </si>
  <si>
    <t>PARTICULAR</t>
  </si>
  <si>
    <t>Plano D</t>
  </si>
  <si>
    <t>Plano A</t>
  </si>
  <si>
    <t>Plano C</t>
  </si>
  <si>
    <t>Plano B</t>
  </si>
  <si>
    <t>faixa_horario</t>
  </si>
  <si>
    <t>tipo_medico</t>
  </si>
  <si>
    <t>volume_atendimentos</t>
  </si>
  <si>
    <t>espera_media</t>
  </si>
  <si>
    <t>Efetivo</t>
  </si>
  <si>
    <t>Plantonista</t>
  </si>
  <si>
    <t>Rotativo</t>
  </si>
  <si>
    <t>Noite</t>
  </si>
  <si>
    <t>Tarde</t>
  </si>
  <si>
    <t>Manhã</t>
  </si>
  <si>
    <t>dia_da_semana</t>
  </si>
  <si>
    <t>total_pacientes</t>
  </si>
  <si>
    <t>terça-feira</t>
  </si>
  <si>
    <t>quarta-feira</t>
  </si>
  <si>
    <t>sábado</t>
  </si>
  <si>
    <t>quinta-feira</t>
  </si>
  <si>
    <t>domingo</t>
  </si>
  <si>
    <t>sexta-feira</t>
  </si>
  <si>
    <t>segunda-feira</t>
  </si>
  <si>
    <t>Rótulos de Linha</t>
  </si>
  <si>
    <t>Total Geral</t>
  </si>
  <si>
    <t>Rótulos de Coluna</t>
  </si>
  <si>
    <t>Média de espera_media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</si>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</sst>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Impacto Financeiro por Falha de Registro: R$ 694k Estimados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DadosBrutos!$E$1</c:f>
              <c:strCache>
                <c:ptCount val="1"/>
                <c:pt idx="0">
                  <c:v>perda_total_estimada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0E-4042-B2AD-633800A1917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0E-4042-B2AD-633800A19178}"/>
              </c:ext>
            </c:extLst>
          </c:dPt>
          <c:dLbls>
            <c:dLbl>
              <c:idx val="0"/>
              <c:numFmt formatCode="&quot;R$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90E-4042-B2AD-633800A19178}"/>
                </c:ext>
              </c:extLst>
            </c:dLbl>
            <c:dLbl>
              <c:idx val="1"/>
              <c:numFmt formatCode="&quot;R$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90E-4042-B2AD-633800A19178}"/>
                </c:ext>
              </c:extLst>
            </c:dLbl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DadosBrutos!$B$2:$B$6</c:f>
              <c:strCache>
                <c:ptCount val="5"/>
                <c:pt idx="0">
                  <c:v>PARTICULAR</c:v>
                </c:pt>
                <c:pt idx="1">
                  <c:v>Plano D</c:v>
                </c:pt>
                <c:pt idx="2">
                  <c:v>Plano A</c:v>
                </c:pt>
                <c:pt idx="3">
                  <c:v>Plano C</c:v>
                </c:pt>
                <c:pt idx="4">
                  <c:v>Plano B</c:v>
                </c:pt>
              </c:strCache>
            </c:strRef>
          </c:cat>
          <c:val>
            <c:numRef>
              <c:f>DadosBrutos!$E$2:$E$6</c:f>
              <c:numCache>
                <c:formatCode>General</c:formatCode>
                <c:ptCount val="5"/>
                <c:pt idx="0" formatCode="0.00">
                  <c:v>498494.7</c:v>
                </c:pt>
                <c:pt idx="1">
                  <c:v>127136.45</c:v>
                </c:pt>
                <c:pt idx="2">
                  <c:v>35726.93</c:v>
                </c:pt>
                <c:pt idx="3">
                  <c:v>25748.35</c:v>
                </c:pt>
                <c:pt idx="4">
                  <c:v>7034.91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0E-4042-B2AD-633800A19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484966655"/>
        <c:axId val="1484966239"/>
      </c:barChart>
      <c:catAx>
        <c:axId val="14849666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4966239"/>
        <c:crosses val="autoZero"/>
        <c:auto val="1"/>
        <c:lblAlgn val="ctr"/>
        <c:lblOffset val="100"/>
        <c:noMultiLvlLbl val="0"/>
      </c:catAx>
      <c:valAx>
        <c:axId val="1484966239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148496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[graficosAtendimentoPs.xlsx]DadosBrutos!Tabela dinâmica58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Manhã: Sobrecarga em Médicos Efetivos gera Espera de 56 min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DadosBrutos!$H$11:$H$12</c:f>
              <c:strCache>
                <c:ptCount val="1"/>
                <c:pt idx="0">
                  <c:v>Efetivo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DadosBrutos!$G$13:$G$16</c:f>
              <c:strCache>
                <c:ptCount val="3"/>
                <c:pt idx="0">
                  <c:v>Manhã</c:v>
                </c:pt>
                <c:pt idx="1">
                  <c:v>Noite</c:v>
                </c:pt>
                <c:pt idx="2">
                  <c:v>Tarde</c:v>
                </c:pt>
              </c:strCache>
            </c:strRef>
          </c:cat>
          <c:val>
            <c:numRef>
              <c:f>DadosBrutos!$H$13:$H$16</c:f>
              <c:numCache>
                <c:formatCode>General</c:formatCode>
                <c:ptCount val="3"/>
                <c:pt idx="0">
                  <c:v>55.8</c:v>
                </c:pt>
                <c:pt idx="1">
                  <c:v>40.03</c:v>
                </c:pt>
                <c:pt idx="2">
                  <c:v>39.9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B-4BAB-A916-4758CAE7894F}"/>
            </c:ext>
          </c:extLst>
        </c:ser>
        <c:ser>
          <c:idx val="1"/>
          <c:order val="1"/>
          <c:tx>
            <c:strRef>
              <c:f>DadosBrutos!$I$11:$I$12</c:f>
              <c:strCache>
                <c:ptCount val="1"/>
                <c:pt idx="0">
                  <c:v>Plantonista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DadosBrutos!$G$13:$G$16</c:f>
              <c:strCache>
                <c:ptCount val="3"/>
                <c:pt idx="0">
                  <c:v>Manhã</c:v>
                </c:pt>
                <c:pt idx="1">
                  <c:v>Noite</c:v>
                </c:pt>
                <c:pt idx="2">
                  <c:v>Tarde</c:v>
                </c:pt>
              </c:strCache>
            </c:strRef>
          </c:cat>
          <c:val>
            <c:numRef>
              <c:f>DadosBrutos!$I$13:$I$16</c:f>
              <c:numCache>
                <c:formatCode>General</c:formatCode>
                <c:ptCount val="3"/>
                <c:pt idx="0">
                  <c:v>37.979999999999997</c:v>
                </c:pt>
                <c:pt idx="1">
                  <c:v>28.51</c:v>
                </c:pt>
                <c:pt idx="2">
                  <c:v>26.97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7B-4BAB-A916-4758CAE7894F}"/>
            </c:ext>
          </c:extLst>
        </c:ser>
        <c:ser>
          <c:idx val="2"/>
          <c:order val="2"/>
          <c:tx>
            <c:strRef>
              <c:f>DadosBrutos!$J$11:$J$12</c:f>
              <c:strCache>
                <c:ptCount val="1"/>
                <c:pt idx="0">
                  <c:v>Rotativo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DadosBrutos!$G$13:$G$16</c:f>
              <c:strCache>
                <c:ptCount val="3"/>
                <c:pt idx="0">
                  <c:v>Manhã</c:v>
                </c:pt>
                <c:pt idx="1">
                  <c:v>Noite</c:v>
                </c:pt>
                <c:pt idx="2">
                  <c:v>Tarde</c:v>
                </c:pt>
              </c:strCache>
            </c:strRef>
          </c:cat>
          <c:val>
            <c:numRef>
              <c:f>DadosBrutos!$J$13:$J$16</c:f>
              <c:numCache>
                <c:formatCode>General</c:formatCode>
                <c:ptCount val="3"/>
                <c:pt idx="0">
                  <c:v>37.130000000000003</c:v>
                </c:pt>
                <c:pt idx="1">
                  <c:v>24.12</c:v>
                </c:pt>
                <c:pt idx="2">
                  <c:v>23.86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7B-4BAB-A916-4758CAE78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7870207"/>
        <c:axId val="1487869791"/>
      </c:barChart>
      <c:catAx>
        <c:axId val="148787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7869791"/>
        <c:crosses val="autoZero"/>
        <c:auto val="1"/>
        <c:lblAlgn val="ctr"/>
        <c:lblOffset val="100"/>
        <c:noMultiLvlLbl val="0"/>
      </c:catAx>
      <c:valAx>
        <c:axId val="148786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787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Fluxo Semanal: Terça-feira apresenta maior pico de espera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DadosBrutos!$C$25</c:f>
              <c:strCache>
                <c:ptCount val="1"/>
                <c:pt idx="0">
                  <c:v>total_pacientes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E5-4FB9-8C83-4AA520A7DFD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E5-4FB9-8C83-4AA520A7DFD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E5-4FB9-8C83-4AA520A7DFD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2E5-4FB9-8C83-4AA520A7DFD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2E5-4FB9-8C83-4AA520A7DFD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2E5-4FB9-8C83-4AA520A7DFD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2E5-4FB9-8C83-4AA520A7DFDC}"/>
              </c:ext>
            </c:extLst>
          </c:dPt>
          <c:cat>
            <c:strRef>
              <c:f>DadosBrutos!$B$26:$B$32</c:f>
              <c:strCache>
                <c:ptCount val="7"/>
                <c:pt idx="0">
                  <c:v>terça-feira</c:v>
                </c:pt>
                <c:pt idx="1">
                  <c:v>quinta-feira</c:v>
                </c:pt>
                <c:pt idx="2">
                  <c:v>domingo</c:v>
                </c:pt>
                <c:pt idx="3">
                  <c:v>sábado</c:v>
                </c:pt>
                <c:pt idx="4">
                  <c:v>sexta-feira</c:v>
                </c:pt>
                <c:pt idx="5">
                  <c:v>quarta-feira</c:v>
                </c:pt>
                <c:pt idx="6">
                  <c:v>segunda-feira</c:v>
                </c:pt>
              </c:strCache>
            </c:strRef>
          </c:cat>
          <c:val>
            <c:numRef>
              <c:f>DadosBrutos!$C$26:$C$32</c:f>
              <c:numCache>
                <c:formatCode>General</c:formatCode>
                <c:ptCount val="7"/>
                <c:pt idx="0">
                  <c:v>6982</c:v>
                </c:pt>
                <c:pt idx="1">
                  <c:v>4171</c:v>
                </c:pt>
                <c:pt idx="2">
                  <c:v>3010</c:v>
                </c:pt>
                <c:pt idx="3">
                  <c:v>4923</c:v>
                </c:pt>
                <c:pt idx="4">
                  <c:v>2673</c:v>
                </c:pt>
                <c:pt idx="5">
                  <c:v>5690</c:v>
                </c:pt>
                <c:pt idx="6">
                  <c:v>2549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2E5-4FB9-8C83-4AA520A7D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-27"/>
        <c:axId val="1162687999"/>
        <c:axId val="1162690911"/>
      </c:barChart>
      <c:lineChart>
        <c:grouping val="standard"/>
        <c:varyColors val="0"/>
        <c:ser>
          <c:idx val="1"/>
          <c:order val="1"/>
          <c:tx>
            <c:strRef>
              <c:f>DadosBrutos!$D$25</c:f>
              <c:strCache>
                <c:ptCount val="1"/>
                <c:pt idx="0">
                  <c:v>espera_media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0128977430829745E-2"/>
                  <c:y val="3.502892819227100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5424948672246916E-2"/>
                      <c:h val="6.600621215613722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A2E5-4FB9-8C83-4AA520A7DF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DadosBrutos!$B$26:$B$32</c:f>
              <c:strCache>
                <c:ptCount val="7"/>
                <c:pt idx="0">
                  <c:v>terça-feira</c:v>
                </c:pt>
                <c:pt idx="1">
                  <c:v>quinta-feira</c:v>
                </c:pt>
                <c:pt idx="2">
                  <c:v>domingo</c:v>
                </c:pt>
                <c:pt idx="3">
                  <c:v>sábado</c:v>
                </c:pt>
                <c:pt idx="4">
                  <c:v>sexta-feira</c:v>
                </c:pt>
                <c:pt idx="5">
                  <c:v>quarta-feira</c:v>
                </c:pt>
                <c:pt idx="6">
                  <c:v>segunda-feira</c:v>
                </c:pt>
              </c:strCache>
            </c:strRef>
          </c:cat>
          <c:val>
            <c:numRef>
              <c:f>DadosBrutos!$D$26:$D$32</c:f>
              <c:numCache>
                <c:formatCode>General</c:formatCode>
                <c:ptCount val="7"/>
                <c:pt idx="0">
                  <c:v>49.17</c:v>
                </c:pt>
                <c:pt idx="1">
                  <c:v>46.93</c:v>
                </c:pt>
                <c:pt idx="2">
                  <c:v>42.51</c:v>
                </c:pt>
                <c:pt idx="3">
                  <c:v>42.48</c:v>
                </c:pt>
                <c:pt idx="4">
                  <c:v>42.47</c:v>
                </c:pt>
                <c:pt idx="5">
                  <c:v>42.46</c:v>
                </c:pt>
                <c:pt idx="6">
                  <c:v>32.79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2E5-4FB9-8C83-4AA520A7D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36575"/>
        <c:axId val="1162682175"/>
      </c:lineChart>
      <c:catAx>
        <c:axId val="4053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2682175"/>
        <c:crosses val="autoZero"/>
        <c:auto val="1"/>
        <c:lblAlgn val="ctr"/>
        <c:lblOffset val="100"/>
        <c:noMultiLvlLbl val="0"/>
      </c:catAx>
      <c:valAx>
        <c:axId val="1162682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536575"/>
        <c:crosses val="autoZero"/>
        <c:crossBetween val="between"/>
      </c:valAx>
      <c:valAx>
        <c:axId val="11626909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2687999"/>
        <c:crosses val="max"/>
        <c:crossBetween val="between"/>
      </c:valAx>
      <c:catAx>
        <c:axId val="11626879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2690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469304875572496"/>
          <c:y val="0.11733999701054348"/>
          <c:w val="0.35915258443697401"/>
          <c:h val="5.86705460247621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Gargalo Administrativo: Plano C apresenta maior espera</a:t>
            </a:r>
            <a:endParaRPr lang="pt-BR" b="1"/>
          </a:p>
        </c:rich>
      </c:tx>
      <c:layout>
        <c:manualLayout>
          <c:xMode val="edge"/>
          <c:yMode val="edge"/>
          <c:x val="0.25444099309755208"/>
          <c:y val="3.48607187460346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DadosBrutos!$C$35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CD-4DB2-AD8A-BF8A85372038}"/>
              </c:ext>
            </c:extLst>
          </c:dPt>
          <c:cat>
            <c:strRef>
              <c:f>DadosBrutos!$B$36:$B$40</c:f>
              <c:strCache>
                <c:ptCount val="5"/>
                <c:pt idx="0">
                  <c:v>Plano C</c:v>
                </c:pt>
                <c:pt idx="1">
                  <c:v>Plano A</c:v>
                </c:pt>
                <c:pt idx="2">
                  <c:v>Plano D</c:v>
                </c:pt>
                <c:pt idx="3">
                  <c:v>Plano B</c:v>
                </c:pt>
                <c:pt idx="4">
                  <c:v>PARTICULAR</c:v>
                </c:pt>
              </c:strCache>
            </c:strRef>
          </c:cat>
          <c:val>
            <c:numRef>
              <c:f>DadosBrutos!$C$36:$C$40</c:f>
              <c:numCache>
                <c:formatCode>General</c:formatCode>
                <c:ptCount val="5"/>
                <c:pt idx="0">
                  <c:v>178</c:v>
                </c:pt>
                <c:pt idx="1">
                  <c:v>1896</c:v>
                </c:pt>
                <c:pt idx="2">
                  <c:v>3858</c:v>
                </c:pt>
                <c:pt idx="3">
                  <c:v>4738</c:v>
                </c:pt>
                <c:pt idx="4">
                  <c:v>4102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CD-4DB2-AD8A-BF8A85372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5"/>
        <c:overlap val="-27"/>
        <c:axId val="1329847983"/>
        <c:axId val="1329844655"/>
      </c:barChart>
      <c:lineChart>
        <c:grouping val="standard"/>
        <c:varyColors val="0"/>
        <c:ser>
          <c:idx val="1"/>
          <c:order val="1"/>
          <c:tx>
            <c:strRef>
              <c:f>DadosBrutos!$D$35</c:f>
              <c:strCache>
                <c:ptCount val="1"/>
                <c:pt idx="0">
                  <c:v>espera_media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DadosBrutos!$B$36:$B$40</c:f>
              <c:strCache>
                <c:ptCount val="5"/>
                <c:pt idx="0">
                  <c:v>Plano C</c:v>
                </c:pt>
                <c:pt idx="1">
                  <c:v>Plano A</c:v>
                </c:pt>
                <c:pt idx="2">
                  <c:v>Plano D</c:v>
                </c:pt>
                <c:pt idx="3">
                  <c:v>Plano B</c:v>
                </c:pt>
                <c:pt idx="4">
                  <c:v>PARTICULAR</c:v>
                </c:pt>
              </c:strCache>
            </c:strRef>
          </c:cat>
          <c:val>
            <c:numRef>
              <c:f>DadosBrutos!$D$36:$D$40</c:f>
              <c:numCache>
                <c:formatCode>General</c:formatCode>
                <c:ptCount val="5"/>
                <c:pt idx="0">
                  <c:v>66.22</c:v>
                </c:pt>
                <c:pt idx="1">
                  <c:v>55.51</c:v>
                </c:pt>
                <c:pt idx="2">
                  <c:v>53.35</c:v>
                </c:pt>
                <c:pt idx="3" formatCode="0.00">
                  <c:v>52</c:v>
                </c:pt>
                <c:pt idx="4">
                  <c:v>48.52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CD-4DB2-AD8A-BF8A85372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994495"/>
        <c:axId val="472995743"/>
      </c:lineChart>
      <c:catAx>
        <c:axId val="47299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2995743"/>
        <c:crosses val="autoZero"/>
        <c:auto val="1"/>
        <c:lblAlgn val="ctr"/>
        <c:lblOffset val="100"/>
        <c:noMultiLvlLbl val="0"/>
      </c:catAx>
      <c:valAx>
        <c:axId val="472995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2994495"/>
        <c:crosses val="autoZero"/>
        <c:crossBetween val="between"/>
      </c:valAx>
      <c:valAx>
        <c:axId val="13298446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9847983"/>
        <c:crosses val="max"/>
        <c:crossBetween val="between"/>
      </c:valAx>
      <c:catAx>
        <c:axId val="13298479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298446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596712827473165"/>
          <c:y val="0.92919293963432548"/>
          <c:w val="0.29344518610606657"/>
          <c:h val="5.52150890430069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Impacto Financeiro por Falha de Registro: R$ 694k Estimados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DadosBrutos!$E$1</c:f>
              <c:strCache>
                <c:ptCount val="1"/>
                <c:pt idx="0">
                  <c:v>perda_total_estimada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0E-4042-B2AD-633800A1917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0E-4042-B2AD-633800A1917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8CB-4DBC-B32A-A38CEFB3B2A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8CB-4DBC-B32A-A38CEFB3B2A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8CB-4DBC-B32A-A38CEFB3B2A7}"/>
              </c:ext>
            </c:extLst>
          </c:dPt>
          <c:dLbls>
            <c:dLbl>
              <c:idx val="0"/>
              <c:numFmt formatCode="&quot;R$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90E-4042-B2AD-633800A19178}"/>
                </c:ext>
              </c:extLst>
            </c:dLbl>
            <c:dLbl>
              <c:idx val="1"/>
              <c:numFmt formatCode="&quot;R$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90E-4042-B2AD-633800A19178}"/>
                </c:ext>
              </c:extLst>
            </c:dLbl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DadosBrutos!$B$2:$B$6</c:f>
              <c:strCache>
                <c:ptCount val="5"/>
                <c:pt idx="0">
                  <c:v>PARTICULAR</c:v>
                </c:pt>
                <c:pt idx="1">
                  <c:v>Plano D</c:v>
                </c:pt>
                <c:pt idx="2">
                  <c:v>Plano A</c:v>
                </c:pt>
                <c:pt idx="3">
                  <c:v>Plano C</c:v>
                </c:pt>
                <c:pt idx="4">
                  <c:v>Plano B</c:v>
                </c:pt>
              </c:strCache>
            </c:strRef>
          </c:cat>
          <c:val>
            <c:numRef>
              <c:f>DadosBrutos!$E$2:$E$6</c:f>
              <c:numCache>
                <c:formatCode>General</c:formatCode>
                <c:ptCount val="5"/>
                <c:pt idx="0" formatCode="0.00">
                  <c:v>498494.7</c:v>
                </c:pt>
                <c:pt idx="1">
                  <c:v>127136.45</c:v>
                </c:pt>
                <c:pt idx="2">
                  <c:v>35726.93</c:v>
                </c:pt>
                <c:pt idx="3">
                  <c:v>25748.35</c:v>
                </c:pt>
                <c:pt idx="4">
                  <c:v>7034.91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0E-4042-B2AD-633800A19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484966655"/>
        <c:axId val="1484966239"/>
      </c:barChart>
      <c:catAx>
        <c:axId val="14849666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4966239"/>
        <c:crosses val="autoZero"/>
        <c:auto val="1"/>
        <c:lblAlgn val="ctr"/>
        <c:lblOffset val="100"/>
        <c:noMultiLvlLbl val="0"/>
      </c:catAx>
      <c:valAx>
        <c:axId val="1484966239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148496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</xdr:row>
      <xdr:rowOff>0</xdr:rowOff>
    </xdr:from>
    <xdr:to>
      <xdr:col>16</xdr:col>
      <xdr:colOff>245969</xdr:colOff>
      <xdr:row>23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E0257E-D56E-4FAC-80C9-CA89B3249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7</xdr:row>
      <xdr:rowOff>9525</xdr:rowOff>
    </xdr:from>
    <xdr:to>
      <xdr:col>32</xdr:col>
      <xdr:colOff>432955</xdr:colOff>
      <xdr:row>28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DF9774E-5F2F-4061-A186-DFF5D2DEA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171450</xdr:colOff>
      <xdr:row>29</xdr:row>
      <xdr:rowOff>57150</xdr:rowOff>
    </xdr:from>
    <xdr:to>
      <xdr:col>18</xdr:col>
      <xdr:colOff>9525</xdr:colOff>
      <xdr:row>48</xdr:row>
      <xdr:rowOff>90488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FBD4682-FD45-45AB-A6DC-F364275A3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440746</xdr:colOff>
      <xdr:row>29</xdr:row>
      <xdr:rowOff>69273</xdr:rowOff>
    </xdr:from>
    <xdr:to>
      <xdr:col>34</xdr:col>
      <xdr:colOff>17318</xdr:colOff>
      <xdr:row>50</xdr:row>
      <xdr:rowOff>95250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A570DE9-43BF-443C-8767-F7538D63BE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11204</xdr:colOff>
      <xdr:row>7</xdr:row>
      <xdr:rowOff>0</xdr:rowOff>
    </xdr:from>
    <xdr:to>
      <xdr:col>5</xdr:col>
      <xdr:colOff>605116</xdr:colOff>
      <xdr:row>9</xdr:row>
      <xdr:rowOff>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DED6751D-F9C2-4A4E-9FD9-BE151E3D9468}"/>
            </a:ext>
          </a:extLst>
        </xdr:cNvPr>
        <xdr:cNvSpPr txBox="1"/>
      </xdr:nvSpPr>
      <xdr:spPr>
        <a:xfrm>
          <a:off x="190498" y="190500"/>
          <a:ext cx="3014383" cy="3810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Principais</a:t>
          </a:r>
          <a:r>
            <a:rPr lang="pt-B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Indicadores</a:t>
          </a:r>
          <a:endParaRPr lang="pt-BR" sz="1600">
            <a:effectLst/>
          </a:endParaRPr>
        </a:p>
        <a:p>
          <a:pPr algn="ctr"/>
          <a:endParaRPr lang="pt-BR" sz="1600"/>
        </a:p>
      </xdr:txBody>
    </xdr:sp>
    <xdr:clientData/>
  </xdr:twoCellAnchor>
  <xdr:twoCellAnchor>
    <xdr:from>
      <xdr:col>1</xdr:col>
      <xdr:colOff>358589</xdr:colOff>
      <xdr:row>9</xdr:row>
      <xdr:rowOff>179295</xdr:rowOff>
    </xdr:from>
    <xdr:to>
      <xdr:col>5</xdr:col>
      <xdr:colOff>201708</xdr:colOff>
      <xdr:row>11</xdr:row>
      <xdr:rowOff>56030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501BF1E1-F5E4-433B-9946-1DA80B545DB8}"/>
            </a:ext>
          </a:extLst>
        </xdr:cNvPr>
        <xdr:cNvSpPr txBox="1"/>
      </xdr:nvSpPr>
      <xdr:spPr>
        <a:xfrm>
          <a:off x="537883" y="750795"/>
          <a:ext cx="2263590" cy="25773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>
              <a:solidFill>
                <a:schemeClr val="dk1"/>
              </a:solidFill>
              <a:latin typeface="+mn-lt"/>
              <a:ea typeface="+mn-ea"/>
              <a:cs typeface="+mn-cs"/>
            </a:rPr>
            <a:t>Total de Perda:</a:t>
          </a:r>
        </a:p>
      </xdr:txBody>
    </xdr:sp>
    <xdr:clientData/>
  </xdr:twoCellAnchor>
  <xdr:twoCellAnchor>
    <xdr:from>
      <xdr:col>1</xdr:col>
      <xdr:colOff>14007</xdr:colOff>
      <xdr:row>16</xdr:row>
      <xdr:rowOff>152400</xdr:rowOff>
    </xdr:from>
    <xdr:to>
      <xdr:col>6</xdr:col>
      <xdr:colOff>0</xdr:colOff>
      <xdr:row>18</xdr:row>
      <xdr:rowOff>89647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C3E8BFC5-A05B-498E-A087-A743C4287B0E}"/>
            </a:ext>
          </a:extLst>
        </xdr:cNvPr>
        <xdr:cNvSpPr txBox="1"/>
      </xdr:nvSpPr>
      <xdr:spPr>
        <a:xfrm>
          <a:off x="194982" y="3200400"/>
          <a:ext cx="3033993" cy="31824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/>
            <a:t>43,80 min</a:t>
          </a:r>
        </a:p>
      </xdr:txBody>
    </xdr:sp>
    <xdr:clientData/>
  </xdr:twoCellAnchor>
  <xdr:twoCellAnchor>
    <xdr:from>
      <xdr:col>1</xdr:col>
      <xdr:colOff>0</xdr:colOff>
      <xdr:row>14</xdr:row>
      <xdr:rowOff>0</xdr:rowOff>
    </xdr:from>
    <xdr:to>
      <xdr:col>5</xdr:col>
      <xdr:colOff>598395</xdr:colOff>
      <xdr:row>16</xdr:row>
      <xdr:rowOff>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C2A1E86D-EC88-4074-BC73-F3B01FBD6185}"/>
            </a:ext>
          </a:extLst>
        </xdr:cNvPr>
        <xdr:cNvSpPr txBox="1"/>
      </xdr:nvSpPr>
      <xdr:spPr>
        <a:xfrm>
          <a:off x="180975" y="2667000"/>
          <a:ext cx="303679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/>
            <a:t>Espera Média Geral:</a:t>
          </a:r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5</xdr:col>
      <xdr:colOff>593912</xdr:colOff>
      <xdr:row>14</xdr:row>
      <xdr:rowOff>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C60BFCA0-E84F-48D7-80E4-A7A10B6F623E}"/>
            </a:ext>
          </a:extLst>
        </xdr:cNvPr>
        <xdr:cNvSpPr txBox="1"/>
      </xdr:nvSpPr>
      <xdr:spPr>
        <a:xfrm>
          <a:off x="179294" y="1143000"/>
          <a:ext cx="3014383" cy="3810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/>
            <a:t>R$ 694.698</a:t>
          </a:r>
        </a:p>
      </xdr:txBody>
    </xdr:sp>
    <xdr:clientData/>
  </xdr:twoCellAnchor>
  <xdr:twoCellAnchor>
    <xdr:from>
      <xdr:col>1</xdr:col>
      <xdr:colOff>0</xdr:colOff>
      <xdr:row>20</xdr:row>
      <xdr:rowOff>0</xdr:rowOff>
    </xdr:from>
    <xdr:to>
      <xdr:col>5</xdr:col>
      <xdr:colOff>595593</xdr:colOff>
      <xdr:row>22</xdr:row>
      <xdr:rowOff>0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34D1E1AF-4099-4B05-8FA8-6EF138CDFC35}"/>
            </a:ext>
          </a:extLst>
        </xdr:cNvPr>
        <xdr:cNvSpPr txBox="1"/>
      </xdr:nvSpPr>
      <xdr:spPr>
        <a:xfrm>
          <a:off x="180975" y="3810000"/>
          <a:ext cx="3033993" cy="3810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/>
            <a:t>Pico de Espera (Manhã):</a:t>
          </a:r>
        </a:p>
      </xdr:txBody>
    </xdr:sp>
    <xdr:clientData/>
  </xdr:twoCellAnchor>
  <xdr:twoCellAnchor>
    <xdr:from>
      <xdr:col>1</xdr:col>
      <xdr:colOff>15687</xdr:colOff>
      <xdr:row>22</xdr:row>
      <xdr:rowOff>148478</xdr:rowOff>
    </xdr:from>
    <xdr:to>
      <xdr:col>6</xdr:col>
      <xdr:colOff>0</xdr:colOff>
      <xdr:row>24</xdr:row>
      <xdr:rowOff>85725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98013D8F-988F-4B8A-B471-4E930A64AB17}"/>
            </a:ext>
          </a:extLst>
        </xdr:cNvPr>
        <xdr:cNvSpPr txBox="1"/>
      </xdr:nvSpPr>
      <xdr:spPr>
        <a:xfrm>
          <a:off x="196662" y="4339478"/>
          <a:ext cx="3032313" cy="31824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/>
            <a:t>55,80</a:t>
          </a:r>
          <a:r>
            <a:rPr lang="pt-BR" sz="1600" baseline="0"/>
            <a:t> </a:t>
          </a:r>
          <a:r>
            <a:rPr lang="pt-BR" sz="1600"/>
            <a:t>min</a:t>
          </a:r>
        </a:p>
      </xdr:txBody>
    </xdr:sp>
    <xdr:clientData/>
  </xdr:twoCellAnchor>
  <xdr:twoCellAnchor>
    <xdr:from>
      <xdr:col>8</xdr:col>
      <xdr:colOff>0</xdr:colOff>
      <xdr:row>7</xdr:row>
      <xdr:rowOff>0</xdr:rowOff>
    </xdr:from>
    <xdr:to>
      <xdr:col>18</xdr:col>
      <xdr:colOff>0</xdr:colOff>
      <xdr:row>27</xdr:row>
      <xdr:rowOff>58831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DCD4305-68DF-45EE-B45F-C20AA6F2F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0</xdr:row>
      <xdr:rowOff>66675</xdr:rowOff>
    </xdr:from>
    <xdr:to>
      <xdr:col>34</xdr:col>
      <xdr:colOff>228601</xdr:colOff>
      <xdr:row>5</xdr:row>
      <xdr:rowOff>0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7119D73E-0C3E-4E71-8972-4659E22B19AF}"/>
            </a:ext>
          </a:extLst>
        </xdr:cNvPr>
        <xdr:cNvSpPr/>
      </xdr:nvSpPr>
      <xdr:spPr>
        <a:xfrm>
          <a:off x="0" y="66675"/>
          <a:ext cx="19240501" cy="885825"/>
        </a:xfrm>
        <a:prstGeom prst="roundRect">
          <a:avLst>
            <a:gd name="adj" fmla="val 7265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485775</xdr:colOff>
      <xdr:row>1</xdr:row>
      <xdr:rowOff>123825</xdr:rowOff>
    </xdr:from>
    <xdr:to>
      <xdr:col>28</xdr:col>
      <xdr:colOff>0</xdr:colOff>
      <xdr:row>4</xdr:row>
      <xdr:rowOff>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7C27B4F1-F38D-417A-B03A-E69ADBFCC00D}"/>
            </a:ext>
          </a:extLst>
        </xdr:cNvPr>
        <xdr:cNvSpPr txBox="1"/>
      </xdr:nvSpPr>
      <xdr:spPr>
        <a:xfrm>
          <a:off x="2533650" y="314325"/>
          <a:ext cx="1351597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>
              <a:solidFill>
                <a:schemeClr val="bg1"/>
              </a:solidFill>
            </a:rPr>
            <a:t>Relatório de Performance Operacional e Financeira - Unidade Pronto Socorro</a:t>
          </a:r>
          <a:r>
            <a:rPr lang="pt-BR" sz="2400">
              <a:solidFill>
                <a:schemeClr val="bg1"/>
              </a:solidFill>
            </a:rPr>
            <a:t>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Neto" refreshedDate="46041.656543518518" createdVersion="7" refreshedVersion="7" minRefreshableVersion="3" recordCount="9" xr:uid="{5D8B8859-7C3B-4875-8B02-54390E85F372}">
  <cacheSource type="worksheet">
    <worksheetSource name="tabela_eficiencia"/>
  </cacheSource>
  <cacheFields count="4">
    <cacheField name="faixa_horario" numFmtId="0">
      <sharedItems count="3">
        <s v="Manhã"/>
        <s v="Noite"/>
        <s v="Tarde"/>
      </sharedItems>
    </cacheField>
    <cacheField name="tipo_medico" numFmtId="0">
      <sharedItems count="3">
        <s v="Efetivo"/>
        <s v="Plantonista"/>
        <s v="Rotativo"/>
      </sharedItems>
    </cacheField>
    <cacheField name="volume_atendimentos" numFmtId="0">
      <sharedItems containsSemiMixedTypes="0" containsString="0" containsNumber="1" containsInteger="1" minValue="293" maxValue="11655"/>
    </cacheField>
    <cacheField name="espera_media" numFmtId="0">
      <sharedItems containsSemiMixedTypes="0" containsString="0" containsNumber="1" minValue="23.86" maxValue="55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11655"/>
    <n v="55.8"/>
  </r>
  <r>
    <x v="0"/>
    <x v="1"/>
    <n v="2515"/>
    <n v="37.979999999999997"/>
  </r>
  <r>
    <x v="0"/>
    <x v="2"/>
    <n v="602"/>
    <n v="37.130000000000003"/>
  </r>
  <r>
    <x v="1"/>
    <x v="0"/>
    <n v="3552"/>
    <n v="40.03"/>
  </r>
  <r>
    <x v="1"/>
    <x v="1"/>
    <n v="3164"/>
    <n v="28.51"/>
  </r>
  <r>
    <x v="1"/>
    <x v="2"/>
    <n v="293"/>
    <n v="24.12"/>
  </r>
  <r>
    <x v="2"/>
    <x v="0"/>
    <n v="6706"/>
    <n v="39.9"/>
  </r>
  <r>
    <x v="2"/>
    <x v="1"/>
    <n v="1110"/>
    <n v="26.97"/>
  </r>
  <r>
    <x v="2"/>
    <x v="2"/>
    <n v="401"/>
    <n v="23.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6E1C4-8EE2-4BED-9AA6-6153C71CA2AE}" name="Tabela dinâmica58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7">
  <location ref="G11:K16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Média de espera_media" fld="3" subtotal="average" baseField="0" baseItem="0"/>
  </dataFields>
  <formats count="3">
    <format dxfId="1">
      <pivotArea field="1" grandRow="1" outline="0" collapsedLevelsAreSubtotals="1" axis="axisCol" fieldPosition="0">
        <references count="1">
          <reference field="1" count="2" selected="0">
            <x v="0"/>
            <x v="1"/>
          </reference>
        </references>
      </pivotArea>
    </format>
    <format dxfId="2">
      <pivotArea grandRow="1" grandCol="1" outline="0" collapsedLevelsAreSubtotals="1" fieldPosition="0"/>
    </format>
    <format dxfId="3">
      <pivotArea field="0" grandCol="1" collapsedLevelsAreSubtotals="1" axis="axisRow" fieldPosition="0">
        <references count="1">
          <reference field="0" count="0"/>
        </references>
      </pivotArea>
    </format>
  </formats>
  <chartFormats count="3"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59864E8E-BDDC-40F4-9F95-092D68ED02BF}" autoFormatId="16" applyNumberFormats="0" applyBorderFormats="0" applyFontFormats="0" applyPatternFormats="0" applyAlignmentFormats="0" applyWidthHeightFormats="0">
  <queryTableRefresh nextId="5">
    <queryTableFields count="4">
      <queryTableField id="1" name="plano_de_saude" tableColumnId="1"/>
      <queryTableField id="2" name="ticket_medio_real" tableColumnId="2"/>
      <queryTableField id="3" name="qtd_consultas_zeradas" tableColumnId="3"/>
      <queryTableField id="4" name="perda_total_estimada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" xr16:uid="{4D03F48F-6F44-43A7-B1D8-63D39BBDC49D}" autoFormatId="16" applyNumberFormats="0" applyBorderFormats="0" applyFontFormats="0" applyPatternFormats="0" applyAlignmentFormats="0" applyWidthHeightFormats="0">
  <queryTableRefresh nextId="4">
    <queryTableFields count="3">
      <queryTableField id="1" name="dia_da_semana" tableColumnId="1"/>
      <queryTableField id="2" name="total_pacientes" tableColumnId="2"/>
      <queryTableField id="3" name="espera_media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3" xr16:uid="{875FACF6-AD56-4F2F-B7B3-4D7EE09ACFF6}" autoFormatId="16" applyNumberFormats="0" applyBorderFormats="0" applyFontFormats="0" applyPatternFormats="0" applyAlignmentFormats="0" applyWidthHeightFormats="0">
  <queryTableRefresh nextId="4">
    <queryTableFields count="3">
      <queryTableField id="1" name="plano_de_saude" tableColumnId="1"/>
      <queryTableField id="2" name="volume" tableColumnId="2"/>
      <queryTableField id="3" name="espera_media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DFACEB-A2F5-40AC-BF5E-D7DD105D6447}" name="tabela_financeira" displayName="tabela_financeira" ref="B1:E6" tableType="queryTable" totalsRowShown="0">
  <autoFilter ref="B1:E6" xr:uid="{98DFACEB-A2F5-40AC-BF5E-D7DD105D6447}"/>
  <tableColumns count="4">
    <tableColumn id="1" xr3:uid="{07695560-922C-49D1-B36E-CDC3CF4B3E78}" uniqueName="1" name="plano_de_saude" queryTableFieldId="1" dataDxfId="7"/>
    <tableColumn id="2" xr3:uid="{D01D163D-4A86-449F-8BD8-BDA44CD25C46}" uniqueName="2" name="ticket_medio_real" queryTableFieldId="2"/>
    <tableColumn id="3" xr3:uid="{9D65F1B2-1E1E-42A7-A6D1-299D319636A6}" uniqueName="3" name="qtd_consultas_zeradas" queryTableFieldId="3"/>
    <tableColumn id="4" xr3:uid="{621393C6-A3C5-4F49-812A-5BE5A78E26DD}" uniqueName="4" name="perda_total_estimada" queryTableFieldId="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4EF144-74E4-474E-9E75-3ECC8758A414}" name="Tabela_de_Sazonalidade" displayName="Tabela_de_Sazonalidade" ref="B25:D32" tableType="queryTable" totalsRowShown="0">
  <autoFilter ref="B25:D32" xr:uid="{FA4EF144-74E4-474E-9E75-3ECC8758A414}"/>
  <sortState xmlns:xlrd2="http://schemas.microsoft.com/office/spreadsheetml/2017/richdata2" ref="B26:D32">
    <sortCondition descending="1" ref="D25:D32"/>
  </sortState>
  <tableColumns count="3">
    <tableColumn id="1" xr3:uid="{7E0AF9CB-9D22-4276-85FE-244B6BC44A77}" uniqueName="1" name="dia_da_semana" queryTableFieldId="1" dataDxfId="0"/>
    <tableColumn id="2" xr3:uid="{713CD46E-39CE-4707-B6A8-0189FA2F61C5}" uniqueName="2" name="total_pacientes" queryTableFieldId="2"/>
    <tableColumn id="3" xr3:uid="{AC56975F-30D7-4CD6-89EE-4BD1F0BD7BCA}" uniqueName="3" name="espera_media" queryTableFieldId="3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04DFF5-1E38-4463-A7DE-B513BD2DB55A}" name="tabela_de_burocracia_por_plano__2" displayName="tabela_de_burocracia_por_plano__2" ref="B35:D40" tableType="queryTable" totalsRowShown="0">
  <autoFilter ref="B35:D40" xr:uid="{DE04DFF5-1E38-4463-A7DE-B513BD2DB55A}"/>
  <tableColumns count="3">
    <tableColumn id="1" xr3:uid="{E5E2BA90-52B3-41C8-AD44-E74863797E79}" uniqueName="1" name="plano_de_saude" queryTableFieldId="1" dataDxfId="6"/>
    <tableColumn id="2" xr3:uid="{B94FF3F9-3449-445B-8156-3F2D8B7C3C19}" uniqueName="2" name="volume" queryTableFieldId="2"/>
    <tableColumn id="3" xr3:uid="{B9983C52-C9EC-439C-A6B4-BA0032CE47A0}" uniqueName="3" name="espera_media" queryTableFieldId="3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F7B442-01F4-419F-834D-61CC0BF9CA2A}" name="Tabela2" displayName="Tabela2" ref="B11:E20" totalsRowShown="0">
  <autoFilter ref="B11:E20" xr:uid="{97F7B442-01F4-419F-834D-61CC0BF9CA2A}"/>
  <tableColumns count="4">
    <tableColumn id="1" xr3:uid="{3E860031-471F-495B-9D7A-13D3B2BCCB63}" name="faixa_horario" dataDxfId="5"/>
    <tableColumn id="2" xr3:uid="{01B83904-6C52-4962-A27C-1DF5E8148E8D}" name="tipo_medico" dataDxfId="4"/>
    <tableColumn id="3" xr3:uid="{8029A3B1-527D-4DC3-B36E-F26E3C6BEE11}" name="volume_atendimentos"/>
    <tableColumn id="4" xr3:uid="{B56C6EA5-3397-4B15-A81D-F0127E869265}" name="espera_med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5E6B-56C1-4774-9912-039D6D3686C6}">
  <dimension ref="B1:K54"/>
  <sheetViews>
    <sheetView zoomScaleNormal="100" workbookViewId="0">
      <selection activeCell="F26" sqref="F26"/>
    </sheetView>
  </sheetViews>
  <sheetFormatPr defaultRowHeight="15" x14ac:dyDescent="0.25"/>
  <cols>
    <col min="2" max="2" width="18" bestFit="1" customWidth="1"/>
    <col min="3" max="3" width="19.7109375" bestFit="1" customWidth="1"/>
    <col min="4" max="4" width="23.7109375" bestFit="1" customWidth="1"/>
    <col min="5" max="5" width="23" bestFit="1" customWidth="1"/>
    <col min="7" max="7" width="22.85546875" bestFit="1" customWidth="1"/>
    <col min="8" max="8" width="19.5703125" bestFit="1" customWidth="1"/>
    <col min="9" max="9" width="11" bestFit="1" customWidth="1"/>
    <col min="10" max="10" width="8.42578125" bestFit="1" customWidth="1"/>
    <col min="11" max="11" width="10.71093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</row>
    <row r="2" spans="2:11" x14ac:dyDescent="0.25">
      <c r="B2" s="1" t="s">
        <v>4</v>
      </c>
      <c r="C2">
        <v>15120</v>
      </c>
      <c r="D2">
        <v>3297</v>
      </c>
      <c r="E2" s="4">
        <v>498494.7</v>
      </c>
      <c r="G2" s="5"/>
    </row>
    <row r="3" spans="2:11" x14ac:dyDescent="0.25">
      <c r="B3" s="1" t="s">
        <v>5</v>
      </c>
      <c r="C3">
        <v>7563</v>
      </c>
      <c r="D3">
        <v>1681</v>
      </c>
      <c r="E3">
        <v>127136.45</v>
      </c>
    </row>
    <row r="4" spans="2:11" x14ac:dyDescent="0.25">
      <c r="B4" s="1" t="s">
        <v>6</v>
      </c>
      <c r="C4">
        <v>11451</v>
      </c>
      <c r="D4">
        <v>312</v>
      </c>
      <c r="E4">
        <v>35726.93</v>
      </c>
    </row>
    <row r="5" spans="2:11" x14ac:dyDescent="0.25">
      <c r="B5" s="1" t="s">
        <v>7</v>
      </c>
      <c r="C5">
        <v>13070</v>
      </c>
      <c r="D5">
        <v>197</v>
      </c>
      <c r="E5">
        <v>25748.35</v>
      </c>
    </row>
    <row r="6" spans="2:11" x14ac:dyDescent="0.25">
      <c r="B6" s="1" t="s">
        <v>8</v>
      </c>
      <c r="C6">
        <v>7904</v>
      </c>
      <c r="D6">
        <v>89</v>
      </c>
      <c r="E6">
        <v>7034.91</v>
      </c>
    </row>
    <row r="11" spans="2:11" x14ac:dyDescent="0.25">
      <c r="B11" t="s">
        <v>9</v>
      </c>
      <c r="C11" t="s">
        <v>10</v>
      </c>
      <c r="D11" t="s">
        <v>11</v>
      </c>
      <c r="E11" t="s">
        <v>12</v>
      </c>
      <c r="G11" s="2" t="s">
        <v>31</v>
      </c>
      <c r="H11" s="2" t="s">
        <v>30</v>
      </c>
    </row>
    <row r="12" spans="2:11" x14ac:dyDescent="0.25">
      <c r="B12" s="1" t="s">
        <v>18</v>
      </c>
      <c r="C12" s="1" t="s">
        <v>13</v>
      </c>
      <c r="D12">
        <v>11655</v>
      </c>
      <c r="E12" s="4">
        <v>55.8</v>
      </c>
      <c r="G12" s="2" t="s">
        <v>28</v>
      </c>
      <c r="H12" t="s">
        <v>13</v>
      </c>
      <c r="I12" t="s">
        <v>14</v>
      </c>
      <c r="J12" t="s">
        <v>15</v>
      </c>
      <c r="K12" t="s">
        <v>29</v>
      </c>
    </row>
    <row r="13" spans="2:11" x14ac:dyDescent="0.25">
      <c r="B13" s="1" t="s">
        <v>18</v>
      </c>
      <c r="C13" s="1" t="s">
        <v>14</v>
      </c>
      <c r="D13">
        <v>2515</v>
      </c>
      <c r="E13">
        <v>37.979999999999997</v>
      </c>
      <c r="G13" s="3" t="s">
        <v>18</v>
      </c>
      <c r="H13" s="1">
        <v>55.8</v>
      </c>
      <c r="I13" s="1">
        <v>37.979999999999997</v>
      </c>
      <c r="J13" s="1">
        <v>37.130000000000003</v>
      </c>
      <c r="K13" s="4">
        <v>43.636666666666663</v>
      </c>
    </row>
    <row r="14" spans="2:11" x14ac:dyDescent="0.25">
      <c r="B14" s="1" t="s">
        <v>18</v>
      </c>
      <c r="C14" s="1" t="s">
        <v>15</v>
      </c>
      <c r="D14">
        <v>602</v>
      </c>
      <c r="E14">
        <v>37.130000000000003</v>
      </c>
      <c r="G14" s="3" t="s">
        <v>16</v>
      </c>
      <c r="H14" s="1">
        <v>40.03</v>
      </c>
      <c r="I14" s="1">
        <v>28.51</v>
      </c>
      <c r="J14" s="1">
        <v>24.12</v>
      </c>
      <c r="K14" s="4">
        <v>30.88666666666667</v>
      </c>
    </row>
    <row r="15" spans="2:11" x14ac:dyDescent="0.25">
      <c r="B15" s="1" t="s">
        <v>16</v>
      </c>
      <c r="C15" s="1" t="s">
        <v>13</v>
      </c>
      <c r="D15">
        <v>3552</v>
      </c>
      <c r="E15">
        <v>40.03</v>
      </c>
      <c r="G15" s="3" t="s">
        <v>17</v>
      </c>
      <c r="H15" s="1">
        <v>39.9</v>
      </c>
      <c r="I15" s="1">
        <v>26.97</v>
      </c>
      <c r="J15" s="1">
        <v>23.86</v>
      </c>
      <c r="K15" s="4">
        <v>30.243333333333336</v>
      </c>
    </row>
    <row r="16" spans="2:11" x14ac:dyDescent="0.25">
      <c r="B16" s="1" t="s">
        <v>16</v>
      </c>
      <c r="C16" s="1" t="s">
        <v>14</v>
      </c>
      <c r="D16">
        <v>3164</v>
      </c>
      <c r="E16">
        <v>28.51</v>
      </c>
      <c r="G16" s="3" t="s">
        <v>29</v>
      </c>
      <c r="H16" s="4">
        <v>45.243333333333332</v>
      </c>
      <c r="I16" s="4">
        <v>31.153333333333332</v>
      </c>
      <c r="J16" s="1">
        <v>28.37</v>
      </c>
      <c r="K16" s="4">
        <v>34.922222222222224</v>
      </c>
    </row>
    <row r="17" spans="2:6" x14ac:dyDescent="0.25">
      <c r="B17" s="1" t="s">
        <v>16</v>
      </c>
      <c r="C17" s="1" t="s">
        <v>15</v>
      </c>
      <c r="D17">
        <v>293</v>
      </c>
      <c r="E17">
        <v>24.12</v>
      </c>
    </row>
    <row r="18" spans="2:6" x14ac:dyDescent="0.25">
      <c r="B18" s="1" t="s">
        <v>17</v>
      </c>
      <c r="C18" s="1" t="s">
        <v>13</v>
      </c>
      <c r="D18">
        <v>6706</v>
      </c>
      <c r="E18" s="4">
        <v>39.9</v>
      </c>
    </row>
    <row r="19" spans="2:6" x14ac:dyDescent="0.25">
      <c r="B19" s="1" t="s">
        <v>17</v>
      </c>
      <c r="C19" s="1" t="s">
        <v>14</v>
      </c>
      <c r="D19">
        <v>1110</v>
      </c>
      <c r="E19">
        <v>26.97</v>
      </c>
    </row>
    <row r="20" spans="2:6" x14ac:dyDescent="0.25">
      <c r="B20" s="1" t="s">
        <v>17</v>
      </c>
      <c r="C20" s="1" t="s">
        <v>15</v>
      </c>
      <c r="D20">
        <v>401</v>
      </c>
      <c r="E20">
        <v>23.86</v>
      </c>
    </row>
    <row r="25" spans="2:6" x14ac:dyDescent="0.25">
      <c r="B25" t="s">
        <v>19</v>
      </c>
      <c r="C25" t="s">
        <v>20</v>
      </c>
      <c r="D25" t="s">
        <v>12</v>
      </c>
    </row>
    <row r="26" spans="2:6" x14ac:dyDescent="0.25">
      <c r="B26" s="1" t="s">
        <v>21</v>
      </c>
      <c r="C26">
        <v>6982</v>
      </c>
      <c r="D26">
        <v>49.17</v>
      </c>
      <c r="F26" s="4"/>
    </row>
    <row r="27" spans="2:6" x14ac:dyDescent="0.25">
      <c r="B27" s="1" t="s">
        <v>24</v>
      </c>
      <c r="C27">
        <v>4171</v>
      </c>
      <c r="D27">
        <v>46.93</v>
      </c>
    </row>
    <row r="28" spans="2:6" x14ac:dyDescent="0.25">
      <c r="B28" s="1" t="s">
        <v>25</v>
      </c>
      <c r="C28">
        <v>3010</v>
      </c>
      <c r="D28">
        <v>42.51</v>
      </c>
    </row>
    <row r="29" spans="2:6" x14ac:dyDescent="0.25">
      <c r="B29" s="1" t="s">
        <v>23</v>
      </c>
      <c r="C29">
        <v>4923</v>
      </c>
      <c r="D29">
        <v>42.48</v>
      </c>
    </row>
    <row r="30" spans="2:6" x14ac:dyDescent="0.25">
      <c r="B30" s="1" t="s">
        <v>26</v>
      </c>
      <c r="C30">
        <v>2673</v>
      </c>
      <c r="D30">
        <v>42.47</v>
      </c>
    </row>
    <row r="31" spans="2:6" x14ac:dyDescent="0.25">
      <c r="B31" s="1" t="s">
        <v>22</v>
      </c>
      <c r="C31">
        <v>5690</v>
      </c>
      <c r="D31">
        <v>42.46</v>
      </c>
    </row>
    <row r="32" spans="2:6" x14ac:dyDescent="0.25">
      <c r="B32" s="1" t="s">
        <v>27</v>
      </c>
      <c r="C32">
        <v>2549</v>
      </c>
      <c r="D32">
        <v>32.79</v>
      </c>
    </row>
    <row r="35" spans="2:4" x14ac:dyDescent="0.25">
      <c r="B35" t="s">
        <v>0</v>
      </c>
      <c r="C35" t="s">
        <v>32</v>
      </c>
      <c r="D35" t="s">
        <v>12</v>
      </c>
    </row>
    <row r="36" spans="2:4" x14ac:dyDescent="0.25">
      <c r="B36" s="1" t="s">
        <v>7</v>
      </c>
      <c r="C36">
        <v>178</v>
      </c>
      <c r="D36">
        <v>66.22</v>
      </c>
    </row>
    <row r="37" spans="2:4" x14ac:dyDescent="0.25">
      <c r="B37" s="1" t="s">
        <v>6</v>
      </c>
      <c r="C37">
        <v>1896</v>
      </c>
      <c r="D37">
        <v>55.51</v>
      </c>
    </row>
    <row r="38" spans="2:4" x14ac:dyDescent="0.25">
      <c r="B38" s="1" t="s">
        <v>5</v>
      </c>
      <c r="C38">
        <v>3858</v>
      </c>
      <c r="D38">
        <v>53.35</v>
      </c>
    </row>
    <row r="39" spans="2:4" x14ac:dyDescent="0.25">
      <c r="B39" s="1" t="s">
        <v>8</v>
      </c>
      <c r="C39">
        <v>4738</v>
      </c>
      <c r="D39" s="4">
        <v>52</v>
      </c>
    </row>
    <row r="40" spans="2:4" x14ac:dyDescent="0.25">
      <c r="B40" s="1" t="s">
        <v>4</v>
      </c>
      <c r="C40">
        <v>4102</v>
      </c>
      <c r="D40">
        <v>48.52</v>
      </c>
    </row>
    <row r="48" spans="2:4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</sheetData>
  <pageMargins left="0.511811024" right="0.511811024" top="0.78740157499999996" bottom="0.78740157499999996" header="0.31496062000000002" footer="0.31496062000000002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E8EDA-CF20-4771-B428-EB5BDAC07749}">
  <sheetPr>
    <pageSetUpPr fitToPage="1"/>
  </sheetPr>
  <dimension ref="A1:A6"/>
  <sheetViews>
    <sheetView showGridLines="0" tabSelected="1" zoomScaleNormal="100" workbookViewId="0">
      <selection activeCell="G30" sqref="G30"/>
    </sheetView>
  </sheetViews>
  <sheetFormatPr defaultRowHeight="15" x14ac:dyDescent="0.25"/>
  <cols>
    <col min="1" max="1" width="2.7109375" customWidth="1"/>
    <col min="8" max="8" width="2.7109375" customWidth="1"/>
    <col min="19" max="19" width="2.7109375" customWidth="1"/>
    <col min="30" max="30" width="2.7109375" customWidth="1"/>
  </cols>
  <sheetData>
    <row r="1" customFormat="1" x14ac:dyDescent="0.25"/>
    <row r="2" customFormat="1" x14ac:dyDescent="0.25"/>
    <row r="3" customFormat="1" x14ac:dyDescent="0.25"/>
    <row r="4" customFormat="1" x14ac:dyDescent="0.25"/>
    <row r="5" customFormat="1" x14ac:dyDescent="0.25"/>
    <row r="6" customFormat="1" x14ac:dyDescent="0.25"/>
  </sheetData>
  <pageMargins left="0.51181102362204722" right="0.51181102362204722" top="0.78740157480314965" bottom="0.78740157480314965" header="0.31496062992125984" footer="0.31496062992125984"/>
  <pageSetup paperSize="9" scale="4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A155F0-9D0A-4226-A1B3-4E9B352175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DadosBrutos</vt:lpstr>
      <vt:lpstr>Dashoboard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Neto</dc:creator>
  <cp:lastModifiedBy>Joao Neto</cp:lastModifiedBy>
  <cp:lastPrinted>2026-01-20T12:29:22Z</cp:lastPrinted>
  <dcterms:created xsi:type="dcterms:W3CDTF">2026-01-19T18:12:27Z</dcterms:created>
  <dcterms:modified xsi:type="dcterms:W3CDTF">2026-01-20T12:35:02Z</dcterms:modified>
</cp:coreProperties>
</file>